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FORTALEZA/2026/ANTROPOMETRÍA/"/>
    </mc:Choice>
  </mc:AlternateContent>
  <xr:revisionPtr revIDLastSave="0" documentId="13_ncr:1_{DFFF32EB-0465-1B42-B3BB-BF527CB74386}" xr6:coauthVersionLast="47" xr6:coauthVersionMax="47" xr10:uidLastSave="{00000000-0000-0000-0000-000000000000}"/>
  <bookViews>
    <workbookView xWindow="0" yWindow="500" windowWidth="35440" windowHeight="19860" xr2:uid="{00000000-000D-0000-FFFF-FFFF00000000}"/>
  </bookViews>
  <sheets>
    <sheet name="Mediciones Individu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</calcChain>
</file>

<file path=xl/sharedStrings.xml><?xml version="1.0" encoding="utf-8"?>
<sst xmlns="http://schemas.openxmlformats.org/spreadsheetml/2006/main" count="124" uniqueCount="99">
  <si>
    <t/>
  </si>
  <si>
    <t>Medidas individuales</t>
  </si>
  <si>
    <t>18/01/2026</t>
  </si>
  <si>
    <t>Filtros aplicados:</t>
  </si>
  <si>
    <t>Grupo</t>
  </si>
  <si>
    <t>Fortaleza SUB-20 2026-1</t>
  </si>
  <si>
    <t>Perfil</t>
  </si>
  <si>
    <t>Express</t>
  </si>
  <si>
    <t>Nombre</t>
  </si>
  <si>
    <t>Apellidos</t>
  </si>
  <si>
    <t>Fecha de la medición</t>
  </si>
  <si>
    <t>Pliegue del Tríceps</t>
  </si>
  <si>
    <t>Pliegue del Subescapular</t>
  </si>
  <si>
    <t>Pliegue del Supraespinal</t>
  </si>
  <si>
    <t>Pliegue del Abdominal</t>
  </si>
  <si>
    <t>Pliegue del Muslo</t>
  </si>
  <si>
    <t>Pliegue de la Pierna</t>
  </si>
  <si>
    <t>Perímetro de Brazo relajado</t>
  </si>
  <si>
    <t>Perímetro de Brazo flexionado y contraído</t>
  </si>
  <si>
    <t>Perímetro de Caderas</t>
  </si>
  <si>
    <t>Perímetro de Muslo medio</t>
  </si>
  <si>
    <t>Perímetro de la Pierna</t>
  </si>
  <si>
    <t>Masa grasa (kg) (Yuhasz, 1974)</t>
  </si>
  <si>
    <t>Masa grasa (kg) (Slaughter, 1988)</t>
  </si>
  <si>
    <t>Tejido muscular (Lee, 2000) (kg)</t>
  </si>
  <si>
    <t>Sumatorio de 6 pliegues</t>
  </si>
  <si>
    <t>IMC (kg/m²)</t>
  </si>
  <si>
    <t>Jose</t>
  </si>
  <si>
    <t>Quevedo</t>
  </si>
  <si>
    <t>07/01/2026</t>
  </si>
  <si>
    <t>Julian Andres</t>
  </si>
  <si>
    <t>Candejo</t>
  </si>
  <si>
    <t>15/01/2026</t>
  </si>
  <si>
    <t>Jeronimo</t>
  </si>
  <si>
    <t>Puerto</t>
  </si>
  <si>
    <t xml:space="preserve">Juan </t>
  </si>
  <si>
    <t>Cuervo</t>
  </si>
  <si>
    <t>Daniel Esteban</t>
  </si>
  <si>
    <t>Gomez Espinosa</t>
  </si>
  <si>
    <t>Juan Jose</t>
  </si>
  <si>
    <t>Carreño Ortiz</t>
  </si>
  <si>
    <t>Emmanuel</t>
  </si>
  <si>
    <t>Cuellar Cardenas</t>
  </si>
  <si>
    <t>Samuel Andres</t>
  </si>
  <si>
    <t>Pinzon Pinzan</t>
  </si>
  <si>
    <t>Abraham Steven</t>
  </si>
  <si>
    <t>Ortiz Lopez</t>
  </si>
  <si>
    <t>Miguel Gerad</t>
  </si>
  <si>
    <t>Rojas Galves</t>
  </si>
  <si>
    <t>Juan Camilo</t>
  </si>
  <si>
    <t>Albornoz Caicedo</t>
  </si>
  <si>
    <t>Cesar Yefrei</t>
  </si>
  <si>
    <t>Lucumi Lucumi</t>
  </si>
  <si>
    <t>Jhofreen</t>
  </si>
  <si>
    <t>Santiago Forero</t>
  </si>
  <si>
    <t>Thomas Leonardo</t>
  </si>
  <si>
    <t>Ballesteros Pinzon</t>
  </si>
  <si>
    <t>Jhon Alejandro</t>
  </si>
  <si>
    <t>Tarazona Giraldo</t>
  </si>
  <si>
    <t>Samuel</t>
  </si>
  <si>
    <t>Gomez Delgado</t>
  </si>
  <si>
    <t>Sebastian</t>
  </si>
  <si>
    <t>Herrera Menmy</t>
  </si>
  <si>
    <t xml:space="preserve">Jeronimo </t>
  </si>
  <si>
    <t>Vieira</t>
  </si>
  <si>
    <t>Armando</t>
  </si>
  <si>
    <t>Larrans</t>
  </si>
  <si>
    <t>Sanchez Gamez</t>
  </si>
  <si>
    <t>Sebastian Andres</t>
  </si>
  <si>
    <t>Guzman Chaveiro</t>
  </si>
  <si>
    <t>Eiver</t>
  </si>
  <si>
    <t>Vallecilla</t>
  </si>
  <si>
    <t>Osorio Ledesma</t>
  </si>
  <si>
    <t>Julio Andre</t>
  </si>
  <si>
    <t>Sinisterra Cuero</t>
  </si>
  <si>
    <t>Juan David</t>
  </si>
  <si>
    <t>Garcia</t>
  </si>
  <si>
    <t>Masa corporal (Kg)</t>
  </si>
  <si>
    <t>Talla (cm)</t>
  </si>
  <si>
    <t>Perímetro de Cintura (cm)</t>
  </si>
  <si>
    <t>Valores de referencia de sumatoria de pliegues según Lineamiento de Nutrición del Coldeportes para atletas</t>
  </si>
  <si>
    <t>&lt; 52.6 mm</t>
  </si>
  <si>
    <t>SEMAFORIZACIÓN SUMATORIA DE PLIEGUES</t>
  </si>
  <si>
    <t>VALOR</t>
  </si>
  <si>
    <t>Muy magro</t>
  </si>
  <si>
    <t>Magro</t>
  </si>
  <si>
    <t>Adecuado</t>
  </si>
  <si>
    <t>&lt; 25 mm</t>
  </si>
  <si>
    <t>&gt;25 a &lt; 39 mm</t>
  </si>
  <si>
    <t>&gt;39 a &lt; 53 mm</t>
  </si>
  <si>
    <t>Promedio</t>
  </si>
  <si>
    <t>&gt; 53 mm - &lt; 71 mm</t>
  </si>
  <si>
    <t>&gt; 71 mm</t>
  </si>
  <si>
    <t>Alto o sobrepeso</t>
  </si>
  <si>
    <t xml:space="preserve">TOMADO DE </t>
  </si>
  <si>
    <t>Juan Pablo</t>
  </si>
  <si>
    <t>Vergara Mera</t>
  </si>
  <si>
    <t>50.8</t>
  </si>
  <si>
    <t>Masa grasa Yuhasz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</si>
</sst>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81C9"/>
      </patternFill>
    </fill>
    <fill>
      <patternFill patternType="solid">
        <fgColor rgb="FF1993D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CBAE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2" fontId="0" fillId="11" borderId="10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2" fontId="0" fillId="11" borderId="23" xfId="0" applyNumberFormat="1" applyFill="1" applyBorder="1" applyAlignment="1">
      <alignment horizontal="center" vertical="center" wrapText="1"/>
    </xf>
    <xf numFmtId="2" fontId="0" fillId="11" borderId="7" xfId="0" applyNumberFormat="1" applyFill="1" applyBorder="1" applyAlignment="1">
      <alignment horizontal="center" vertical="center" wrapText="1"/>
    </xf>
    <xf numFmtId="164" fontId="0" fillId="11" borderId="10" xfId="0" applyNumberFormat="1" applyFill="1" applyBorder="1" applyAlignment="1">
      <alignment horizontal="center" vertical="center" wrapText="1"/>
    </xf>
    <xf numFmtId="164" fontId="0" fillId="11" borderId="1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164" fontId="0" fillId="11" borderId="5" xfId="0" applyNumberFormat="1" applyFill="1" applyBorder="1" applyAlignment="1">
      <alignment horizontal="center" vertical="center" wrapText="1"/>
    </xf>
    <xf numFmtId="164" fontId="0" fillId="11" borderId="23" xfId="0" applyNumberFormat="1" applyFill="1" applyBorder="1" applyAlignment="1">
      <alignment horizontal="center" vertical="center" wrapText="1"/>
    </xf>
    <xf numFmtId="164" fontId="0" fillId="11" borderId="24" xfId="0" applyNumberFormat="1" applyFill="1" applyBorder="1" applyAlignment="1">
      <alignment horizontal="center" vertical="center" wrapText="1"/>
    </xf>
    <xf numFmtId="164" fontId="0" fillId="11" borderId="7" xfId="0" applyNumberFormat="1" applyFill="1" applyBorder="1" applyAlignment="1">
      <alignment horizontal="center" vertical="center" wrapText="1"/>
    </xf>
    <xf numFmtId="164" fontId="0" fillId="11" borderId="8" xfId="0" applyNumberFormat="1" applyFill="1" applyBorder="1" applyAlignment="1">
      <alignment horizontal="center" vertical="center" wrapText="1"/>
    </xf>
    <xf numFmtId="164" fontId="0" fillId="4" borderId="10" xfId="0" applyNumberFormat="1" applyFill="1" applyBorder="1" applyAlignment="1">
      <alignment horizontal="center" vertical="center" wrapText="1"/>
    </xf>
    <xf numFmtId="164" fontId="0" fillId="5" borderId="10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4" borderId="23" xfId="0" applyNumberFormat="1" applyFill="1" applyBorder="1" applyAlignment="1">
      <alignment horizontal="center" vertical="center" wrapText="1"/>
    </xf>
    <xf numFmtId="164" fontId="0" fillId="5" borderId="23" xfId="0" applyNumberFormat="1" applyFill="1" applyBorder="1" applyAlignment="1">
      <alignment horizontal="center" vertical="center" wrapText="1"/>
    </xf>
    <xf numFmtId="164" fontId="0" fillId="4" borderId="7" xfId="0" applyNumberForma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10" borderId="19" xfId="0" applyFont="1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BAE7"/>
      <color rgb="FF00FF00"/>
      <color rgb="FFFF9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workbookViewId="0">
      <selection activeCell="L13" sqref="L13"/>
    </sheetView>
  </sheetViews>
  <sheetFormatPr baseColWidth="10" defaultRowHeight="15" x14ac:dyDescent="0.2"/>
  <sheetData>
    <row r="1" spans="1:23" ht="16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3" x14ac:dyDescent="0.2">
      <c r="A2" s="1"/>
      <c r="B2" s="1"/>
      <c r="C2" s="1"/>
      <c r="D2" s="1"/>
      <c r="E2" s="1"/>
      <c r="F2" s="1"/>
      <c r="G2" s="1"/>
      <c r="H2" s="1"/>
    </row>
    <row r="3" spans="1:23" ht="32" x14ac:dyDescent="0.2">
      <c r="A3" s="1" t="s">
        <v>1</v>
      </c>
      <c r="B3" s="1"/>
      <c r="C3" s="1"/>
      <c r="D3" s="1"/>
      <c r="E3" s="1"/>
      <c r="F3" s="1"/>
      <c r="G3" s="1" t="s">
        <v>2</v>
      </c>
      <c r="H3" s="1"/>
    </row>
    <row r="4" spans="1:23" x14ac:dyDescent="0.2">
      <c r="A4" s="1"/>
      <c r="B4" s="1"/>
      <c r="C4" s="1"/>
      <c r="D4" s="1"/>
      <c r="E4" s="1"/>
      <c r="F4" s="1"/>
      <c r="G4" s="1"/>
      <c r="H4" s="1"/>
    </row>
    <row r="5" spans="1:23" ht="32" x14ac:dyDescent="0.2">
      <c r="A5" s="56" t="s">
        <v>3</v>
      </c>
      <c r="B5" s="56"/>
      <c r="C5" s="56"/>
      <c r="D5" s="56"/>
      <c r="E5" s="56"/>
      <c r="F5" s="56"/>
      <c r="G5" s="56"/>
      <c r="H5" s="56"/>
    </row>
    <row r="6" spans="1:23" ht="48" x14ac:dyDescent="0.2">
      <c r="A6" s="57" t="s">
        <v>4</v>
      </c>
      <c r="B6" s="58"/>
      <c r="C6" s="59" t="s">
        <v>5</v>
      </c>
      <c r="D6" s="58"/>
      <c r="E6" s="58"/>
      <c r="F6" s="58"/>
      <c r="G6" s="58"/>
      <c r="H6" s="58"/>
    </row>
    <row r="7" spans="1:23" ht="16" x14ac:dyDescent="0.2">
      <c r="A7" s="57" t="s">
        <v>6</v>
      </c>
      <c r="B7" s="58"/>
      <c r="C7" s="59" t="s">
        <v>7</v>
      </c>
      <c r="D7" s="58"/>
      <c r="E7" s="58"/>
      <c r="F7" s="58"/>
      <c r="G7" s="58"/>
      <c r="H7" s="58"/>
    </row>
    <row r="8" spans="1:23" ht="64" x14ac:dyDescent="0.2">
      <c r="A8" s="12" t="s">
        <v>8</v>
      </c>
      <c r="B8" s="13" t="s">
        <v>9</v>
      </c>
      <c r="C8" s="13" t="s">
        <v>10</v>
      </c>
      <c r="D8" s="14" t="s">
        <v>77</v>
      </c>
      <c r="E8" s="14" t="s">
        <v>78</v>
      </c>
      <c r="F8" s="14" t="s">
        <v>26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6" t="s">
        <v>17</v>
      </c>
      <c r="N8" s="16" t="s">
        <v>18</v>
      </c>
      <c r="O8" s="16" t="s">
        <v>79</v>
      </c>
      <c r="P8" s="16" t="s">
        <v>19</v>
      </c>
      <c r="Q8" s="16" t="s">
        <v>20</v>
      </c>
      <c r="R8" s="16" t="s">
        <v>21</v>
      </c>
      <c r="S8" s="28" t="s">
        <v>25</v>
      </c>
      <c r="T8" s="28" t="s">
        <v>98</v>
      </c>
      <c r="U8" s="28" t="s">
        <v>22</v>
      </c>
      <c r="V8" s="28" t="s">
        <v>23</v>
      </c>
      <c r="W8" s="29" t="s">
        <v>24</v>
      </c>
    </row>
    <row r="9" spans="1:23" ht="16" x14ac:dyDescent="0.2">
      <c r="A9" s="9" t="s">
        <v>27</v>
      </c>
      <c r="B9" s="10" t="s">
        <v>28</v>
      </c>
      <c r="C9" s="10" t="s">
        <v>29</v>
      </c>
      <c r="D9" s="11">
        <v>81</v>
      </c>
      <c r="E9" s="11">
        <v>187</v>
      </c>
      <c r="F9" s="11">
        <v>23.2</v>
      </c>
      <c r="G9" s="48">
        <v>7</v>
      </c>
      <c r="H9" s="48">
        <v>8</v>
      </c>
      <c r="I9" s="48">
        <v>10.5</v>
      </c>
      <c r="J9" s="48">
        <v>15</v>
      </c>
      <c r="K9" s="48">
        <v>8</v>
      </c>
      <c r="L9" s="48">
        <v>6.5</v>
      </c>
      <c r="M9" s="49">
        <v>30.7</v>
      </c>
      <c r="N9" s="49">
        <v>32.799999999999997</v>
      </c>
      <c r="O9" s="49">
        <v>77.5</v>
      </c>
      <c r="P9" s="49">
        <v>99</v>
      </c>
      <c r="Q9" s="49">
        <v>55.8</v>
      </c>
      <c r="R9" s="49">
        <v>39</v>
      </c>
      <c r="S9" s="21">
        <v>55</v>
      </c>
      <c r="T9" s="36">
        <f>(S9*0.1051)+2.58</f>
        <v>8.3605</v>
      </c>
      <c r="U9" s="36">
        <v>6.78</v>
      </c>
      <c r="V9" s="40">
        <v>10.8</v>
      </c>
      <c r="W9" s="41">
        <v>36.57</v>
      </c>
    </row>
    <row r="10" spans="1:23" ht="32" x14ac:dyDescent="0.2">
      <c r="A10" s="5" t="s">
        <v>30</v>
      </c>
      <c r="B10" s="3" t="s">
        <v>31</v>
      </c>
      <c r="C10" s="3" t="s">
        <v>32</v>
      </c>
      <c r="D10" s="4">
        <v>75</v>
      </c>
      <c r="E10" s="4">
        <v>176</v>
      </c>
      <c r="F10" s="4">
        <v>24.2</v>
      </c>
      <c r="G10" s="50">
        <v>5</v>
      </c>
      <c r="H10" s="50">
        <v>9</v>
      </c>
      <c r="I10" s="50">
        <v>4</v>
      </c>
      <c r="J10" s="50">
        <v>7.5</v>
      </c>
      <c r="K10" s="50">
        <v>4</v>
      </c>
      <c r="L10" s="50">
        <v>4</v>
      </c>
      <c r="M10" s="51">
        <v>30.5</v>
      </c>
      <c r="N10" s="51">
        <v>33.299999999999997</v>
      </c>
      <c r="O10" s="51">
        <v>77.3</v>
      </c>
      <c r="P10" s="51">
        <v>93.1</v>
      </c>
      <c r="Q10" s="51">
        <v>55.9</v>
      </c>
      <c r="R10" s="51">
        <v>39</v>
      </c>
      <c r="S10" s="19">
        <v>33.5</v>
      </c>
      <c r="T10" s="36">
        <f t="shared" ref="T10:T34" si="0">(S10*0.1051)+2.58</f>
        <v>6.1008499999999994</v>
      </c>
      <c r="U10" s="37">
        <v>4.58</v>
      </c>
      <c r="V10" s="42">
        <v>7.94</v>
      </c>
      <c r="W10" s="43">
        <v>37.119999999999997</v>
      </c>
    </row>
    <row r="11" spans="1:23" ht="16" x14ac:dyDescent="0.2">
      <c r="A11" s="5" t="s">
        <v>33</v>
      </c>
      <c r="B11" s="3" t="s">
        <v>34</v>
      </c>
      <c r="C11" s="3" t="s">
        <v>32</v>
      </c>
      <c r="D11" s="4">
        <v>64</v>
      </c>
      <c r="E11" s="4">
        <v>172</v>
      </c>
      <c r="F11" s="4">
        <v>21.6</v>
      </c>
      <c r="G11" s="50">
        <v>10.5</v>
      </c>
      <c r="H11" s="50">
        <v>7.5</v>
      </c>
      <c r="I11" s="50">
        <v>5.5</v>
      </c>
      <c r="J11" s="50">
        <v>9.5</v>
      </c>
      <c r="K11" s="50">
        <v>13</v>
      </c>
      <c r="L11" s="50">
        <v>4</v>
      </c>
      <c r="M11" s="51">
        <v>30.7</v>
      </c>
      <c r="N11" s="51">
        <v>31.8</v>
      </c>
      <c r="O11" s="51">
        <v>72.099999999999994</v>
      </c>
      <c r="P11" s="51">
        <v>89.8</v>
      </c>
      <c r="Q11" s="51">
        <v>51.3</v>
      </c>
      <c r="R11" s="51">
        <v>34.4</v>
      </c>
      <c r="S11" s="19">
        <v>50</v>
      </c>
      <c r="T11" s="36">
        <f t="shared" si="0"/>
        <v>7.835</v>
      </c>
      <c r="U11" s="37">
        <v>5.0199999999999996</v>
      </c>
      <c r="V11" s="42">
        <v>8.92</v>
      </c>
      <c r="W11" s="43">
        <v>30.65</v>
      </c>
    </row>
    <row r="12" spans="1:23" ht="16" x14ac:dyDescent="0.2">
      <c r="A12" s="5" t="s">
        <v>35</v>
      </c>
      <c r="B12" s="3" t="s">
        <v>36</v>
      </c>
      <c r="C12" s="3" t="s">
        <v>32</v>
      </c>
      <c r="D12" s="4">
        <v>70</v>
      </c>
      <c r="E12" s="4">
        <v>183</v>
      </c>
      <c r="F12" s="4">
        <v>20.9</v>
      </c>
      <c r="G12" s="50">
        <v>6</v>
      </c>
      <c r="H12" s="50">
        <v>8.5</v>
      </c>
      <c r="I12" s="50">
        <v>7</v>
      </c>
      <c r="J12" s="50">
        <v>16.5</v>
      </c>
      <c r="K12" s="50">
        <v>10</v>
      </c>
      <c r="L12" s="50">
        <v>4</v>
      </c>
      <c r="M12" s="51">
        <v>27.7</v>
      </c>
      <c r="N12" s="51">
        <v>28.8</v>
      </c>
      <c r="O12" s="51">
        <v>75.3</v>
      </c>
      <c r="P12" s="51">
        <v>91</v>
      </c>
      <c r="Q12" s="51">
        <v>48.5</v>
      </c>
      <c r="R12" s="51">
        <v>36</v>
      </c>
      <c r="S12" s="19">
        <v>52</v>
      </c>
      <c r="T12" s="36">
        <f t="shared" si="0"/>
        <v>8.0452000000000012</v>
      </c>
      <c r="U12" s="37">
        <v>5.64</v>
      </c>
      <c r="V12" s="42">
        <v>7.84</v>
      </c>
      <c r="W12" s="43">
        <v>31.51</v>
      </c>
    </row>
    <row r="13" spans="1:23" ht="32" x14ac:dyDescent="0.2">
      <c r="A13" s="5" t="s">
        <v>37</v>
      </c>
      <c r="B13" s="3" t="s">
        <v>38</v>
      </c>
      <c r="C13" s="3" t="s">
        <v>32</v>
      </c>
      <c r="D13" s="4">
        <v>76</v>
      </c>
      <c r="E13" s="4">
        <v>183</v>
      </c>
      <c r="F13" s="4">
        <v>22.7</v>
      </c>
      <c r="G13" s="50">
        <v>5.5</v>
      </c>
      <c r="H13" s="50">
        <v>9</v>
      </c>
      <c r="I13" s="50">
        <v>6</v>
      </c>
      <c r="J13" s="50">
        <v>7.5</v>
      </c>
      <c r="K13" s="50">
        <v>12</v>
      </c>
      <c r="L13" s="50">
        <v>6.5</v>
      </c>
      <c r="M13" s="51">
        <v>30.1</v>
      </c>
      <c r="N13" s="51">
        <v>33.5</v>
      </c>
      <c r="O13" s="51">
        <v>77.2</v>
      </c>
      <c r="P13" s="51">
        <v>91.2</v>
      </c>
      <c r="Q13" s="51">
        <v>54.3</v>
      </c>
      <c r="R13" s="51">
        <v>40.5</v>
      </c>
      <c r="S13" s="19">
        <v>46.5</v>
      </c>
      <c r="T13" s="36">
        <f t="shared" si="0"/>
        <v>7.4671500000000002</v>
      </c>
      <c r="U13" s="37">
        <v>5.68</v>
      </c>
      <c r="V13" s="42">
        <v>9.44</v>
      </c>
      <c r="W13" s="43">
        <v>36.39</v>
      </c>
    </row>
    <row r="14" spans="1:23" ht="32" x14ac:dyDescent="0.2">
      <c r="A14" s="5" t="s">
        <v>39</v>
      </c>
      <c r="B14" s="3" t="s">
        <v>40</v>
      </c>
      <c r="C14" s="3" t="s">
        <v>32</v>
      </c>
      <c r="D14" s="4">
        <v>79</v>
      </c>
      <c r="E14" s="4">
        <v>182</v>
      </c>
      <c r="F14" s="4">
        <v>23.8</v>
      </c>
      <c r="G14" s="50">
        <v>10</v>
      </c>
      <c r="H14" s="50">
        <v>9.5</v>
      </c>
      <c r="I14" s="50">
        <v>8</v>
      </c>
      <c r="J14" s="50">
        <v>16.5</v>
      </c>
      <c r="K14" s="50">
        <v>11</v>
      </c>
      <c r="L14" s="50">
        <v>4</v>
      </c>
      <c r="M14" s="51">
        <v>32.5</v>
      </c>
      <c r="N14" s="51">
        <v>34.1</v>
      </c>
      <c r="O14" s="51">
        <v>78.7</v>
      </c>
      <c r="P14" s="51">
        <v>80.3</v>
      </c>
      <c r="Q14" s="51">
        <v>57.8</v>
      </c>
      <c r="R14" s="51">
        <v>39</v>
      </c>
      <c r="S14" s="22">
        <v>59</v>
      </c>
      <c r="T14" s="36">
        <f t="shared" si="0"/>
        <v>8.780899999999999</v>
      </c>
      <c r="U14" s="37">
        <v>6.94</v>
      </c>
      <c r="V14" s="42">
        <v>10.78</v>
      </c>
      <c r="W14" s="43">
        <v>37.22</v>
      </c>
    </row>
    <row r="15" spans="1:23" ht="32" x14ac:dyDescent="0.2">
      <c r="A15" s="5" t="s">
        <v>41</v>
      </c>
      <c r="B15" s="3" t="s">
        <v>42</v>
      </c>
      <c r="C15" s="3" t="s">
        <v>32</v>
      </c>
      <c r="D15" s="4">
        <v>82</v>
      </c>
      <c r="E15" s="4">
        <v>185</v>
      </c>
      <c r="F15" s="4">
        <v>24</v>
      </c>
      <c r="G15" s="50">
        <v>8</v>
      </c>
      <c r="H15" s="50">
        <v>15</v>
      </c>
      <c r="I15" s="50">
        <v>11.5</v>
      </c>
      <c r="J15" s="50">
        <v>22</v>
      </c>
      <c r="K15" s="50">
        <v>12.5</v>
      </c>
      <c r="L15" s="50">
        <v>4</v>
      </c>
      <c r="M15" s="51">
        <v>31.5</v>
      </c>
      <c r="N15" s="51">
        <v>32.4</v>
      </c>
      <c r="O15" s="51">
        <v>80.3</v>
      </c>
      <c r="P15" s="51">
        <v>97.4</v>
      </c>
      <c r="Q15" s="51">
        <v>54.3</v>
      </c>
      <c r="R15" s="51">
        <v>38</v>
      </c>
      <c r="S15" s="23">
        <v>73</v>
      </c>
      <c r="T15" s="36">
        <f t="shared" si="0"/>
        <v>10.2523</v>
      </c>
      <c r="U15" s="37">
        <v>8.41</v>
      </c>
      <c r="V15" s="42">
        <v>10.18</v>
      </c>
      <c r="W15" s="43">
        <v>36.049999999999997</v>
      </c>
    </row>
    <row r="16" spans="1:23" ht="32" x14ac:dyDescent="0.2">
      <c r="A16" s="5" t="s">
        <v>43</v>
      </c>
      <c r="B16" s="3" t="s">
        <v>44</v>
      </c>
      <c r="C16" s="3" t="s">
        <v>32</v>
      </c>
      <c r="D16" s="4">
        <v>67</v>
      </c>
      <c r="E16" s="4">
        <v>176</v>
      </c>
      <c r="F16" s="4">
        <v>21.6</v>
      </c>
      <c r="G16" s="50">
        <v>6</v>
      </c>
      <c r="H16" s="50">
        <v>11</v>
      </c>
      <c r="I16" s="50">
        <v>7.5</v>
      </c>
      <c r="J16" s="50">
        <v>8</v>
      </c>
      <c r="K16" s="50">
        <v>9</v>
      </c>
      <c r="L16" s="50">
        <v>4.5</v>
      </c>
      <c r="M16" s="51">
        <v>28.3</v>
      </c>
      <c r="N16" s="51">
        <v>31.3</v>
      </c>
      <c r="O16" s="51">
        <v>76.5</v>
      </c>
      <c r="P16" s="51">
        <v>89.3</v>
      </c>
      <c r="Q16" s="51">
        <v>51</v>
      </c>
      <c r="R16" s="51">
        <v>36</v>
      </c>
      <c r="S16" s="19">
        <v>46</v>
      </c>
      <c r="T16" s="36">
        <f t="shared" si="0"/>
        <v>7.4146000000000001</v>
      </c>
      <c r="U16" s="37">
        <v>4.97</v>
      </c>
      <c r="V16" s="42">
        <v>7.71</v>
      </c>
      <c r="W16" s="43">
        <v>31.4</v>
      </c>
    </row>
    <row r="17" spans="1:23" ht="32" x14ac:dyDescent="0.2">
      <c r="A17" s="5" t="s">
        <v>45</v>
      </c>
      <c r="B17" s="3" t="s">
        <v>46</v>
      </c>
      <c r="C17" s="3" t="s">
        <v>32</v>
      </c>
      <c r="D17" s="4">
        <v>66</v>
      </c>
      <c r="E17" s="4">
        <v>175</v>
      </c>
      <c r="F17" s="4">
        <v>21.6</v>
      </c>
      <c r="G17" s="50">
        <v>6.5</v>
      </c>
      <c r="H17" s="50">
        <v>10</v>
      </c>
      <c r="I17" s="50">
        <v>5</v>
      </c>
      <c r="J17" s="50">
        <v>8.5</v>
      </c>
      <c r="K17" s="50">
        <v>10.5</v>
      </c>
      <c r="L17" s="50">
        <v>5.5</v>
      </c>
      <c r="M17" s="51">
        <v>29.5</v>
      </c>
      <c r="N17" s="51">
        <v>33</v>
      </c>
      <c r="O17" s="51">
        <v>72.3</v>
      </c>
      <c r="P17" s="51">
        <v>88.3</v>
      </c>
      <c r="Q17" s="51">
        <v>49.4</v>
      </c>
      <c r="R17" s="51">
        <v>34</v>
      </c>
      <c r="S17" s="19">
        <v>46</v>
      </c>
      <c r="T17" s="36">
        <f t="shared" si="0"/>
        <v>7.4146000000000001</v>
      </c>
      <c r="U17" s="37">
        <v>4.9000000000000004</v>
      </c>
      <c r="V17" s="42">
        <v>8.1999999999999993</v>
      </c>
      <c r="W17" s="43">
        <v>30.46</v>
      </c>
    </row>
    <row r="18" spans="1:23" ht="32" x14ac:dyDescent="0.2">
      <c r="A18" s="5" t="s">
        <v>47</v>
      </c>
      <c r="B18" s="3" t="s">
        <v>48</v>
      </c>
      <c r="C18" s="3" t="s">
        <v>32</v>
      </c>
      <c r="D18" s="4">
        <v>71</v>
      </c>
      <c r="E18" s="4">
        <v>175</v>
      </c>
      <c r="F18" s="4">
        <v>23.2</v>
      </c>
      <c r="G18" s="50">
        <v>6</v>
      </c>
      <c r="H18" s="50">
        <v>8</v>
      </c>
      <c r="I18" s="50">
        <v>4.5</v>
      </c>
      <c r="J18" s="50">
        <v>8</v>
      </c>
      <c r="K18" s="50">
        <v>11.5</v>
      </c>
      <c r="L18" s="50">
        <v>5</v>
      </c>
      <c r="M18" s="51">
        <v>30</v>
      </c>
      <c r="N18" s="51">
        <v>32.4</v>
      </c>
      <c r="O18" s="51">
        <v>77.8</v>
      </c>
      <c r="P18" s="51">
        <v>91.2</v>
      </c>
      <c r="Q18" s="51">
        <v>53.1</v>
      </c>
      <c r="R18" s="51">
        <v>37.6</v>
      </c>
      <c r="S18" s="19">
        <v>43</v>
      </c>
      <c r="T18" s="36">
        <f t="shared" si="0"/>
        <v>7.0993000000000004</v>
      </c>
      <c r="U18" s="37">
        <v>5.04</v>
      </c>
      <c r="V18" s="42">
        <v>8.39</v>
      </c>
      <c r="W18" s="43">
        <v>34.57</v>
      </c>
    </row>
    <row r="19" spans="1:23" ht="32" x14ac:dyDescent="0.2">
      <c r="A19" s="5" t="s">
        <v>49</v>
      </c>
      <c r="B19" s="3" t="s">
        <v>50</v>
      </c>
      <c r="C19" s="3" t="s">
        <v>32</v>
      </c>
      <c r="D19" s="4">
        <v>72</v>
      </c>
      <c r="E19" s="4">
        <v>178</v>
      </c>
      <c r="F19" s="4">
        <v>22.7</v>
      </c>
      <c r="G19" s="50">
        <v>7</v>
      </c>
      <c r="H19" s="50">
        <v>11.5</v>
      </c>
      <c r="I19" s="50">
        <v>6</v>
      </c>
      <c r="J19" s="50">
        <v>8</v>
      </c>
      <c r="K19" s="50">
        <v>9.5</v>
      </c>
      <c r="L19" s="50">
        <v>6</v>
      </c>
      <c r="M19" s="51">
        <v>31</v>
      </c>
      <c r="N19" s="51">
        <v>33.5</v>
      </c>
      <c r="O19" s="51">
        <v>72</v>
      </c>
      <c r="P19" s="51">
        <v>93</v>
      </c>
      <c r="Q19" s="51">
        <v>53.1</v>
      </c>
      <c r="R19" s="51">
        <v>37.9</v>
      </c>
      <c r="S19" s="19">
        <v>48</v>
      </c>
      <c r="T19" s="36">
        <f t="shared" si="0"/>
        <v>7.6248000000000005</v>
      </c>
      <c r="U19" s="37">
        <v>5.49</v>
      </c>
      <c r="V19" s="42">
        <v>9.3800000000000008</v>
      </c>
      <c r="W19" s="43">
        <v>35.54</v>
      </c>
    </row>
    <row r="20" spans="1:23" ht="32" x14ac:dyDescent="0.2">
      <c r="A20" s="5" t="s">
        <v>51</v>
      </c>
      <c r="B20" s="3" t="s">
        <v>52</v>
      </c>
      <c r="C20" s="3" t="s">
        <v>32</v>
      </c>
      <c r="D20" s="4">
        <v>66</v>
      </c>
      <c r="E20" s="4">
        <v>173</v>
      </c>
      <c r="F20" s="4">
        <v>22.1</v>
      </c>
      <c r="G20" s="50">
        <v>7</v>
      </c>
      <c r="H20" s="50">
        <v>10</v>
      </c>
      <c r="I20" s="50">
        <v>4</v>
      </c>
      <c r="J20" s="50">
        <v>7</v>
      </c>
      <c r="K20" s="50">
        <v>7</v>
      </c>
      <c r="L20" s="50">
        <v>4.5</v>
      </c>
      <c r="M20" s="51">
        <v>27.2</v>
      </c>
      <c r="N20" s="51">
        <v>30.6</v>
      </c>
      <c r="O20" s="51">
        <v>75.3</v>
      </c>
      <c r="P20" s="51">
        <v>90</v>
      </c>
      <c r="Q20" s="51">
        <v>50</v>
      </c>
      <c r="R20" s="51">
        <v>34.299999999999997</v>
      </c>
      <c r="S20" s="19">
        <v>39.5</v>
      </c>
      <c r="T20" s="36">
        <f t="shared" si="0"/>
        <v>6.7314499999999997</v>
      </c>
      <c r="U20" s="37">
        <v>4.45</v>
      </c>
      <c r="V20" s="42">
        <v>8</v>
      </c>
      <c r="W20" s="43">
        <v>30.16</v>
      </c>
    </row>
    <row r="21" spans="1:23" ht="32" x14ac:dyDescent="0.2">
      <c r="A21" s="5" t="s">
        <v>53</v>
      </c>
      <c r="B21" s="3" t="s">
        <v>54</v>
      </c>
      <c r="C21" s="3" t="s">
        <v>32</v>
      </c>
      <c r="D21" s="4">
        <v>73</v>
      </c>
      <c r="E21" s="4">
        <v>178</v>
      </c>
      <c r="F21" s="4">
        <v>23</v>
      </c>
      <c r="G21" s="50">
        <v>8.5</v>
      </c>
      <c r="H21" s="50">
        <v>11</v>
      </c>
      <c r="I21" s="50">
        <v>8</v>
      </c>
      <c r="J21" s="50">
        <v>13</v>
      </c>
      <c r="K21" s="50">
        <v>11</v>
      </c>
      <c r="L21" s="50">
        <v>5</v>
      </c>
      <c r="M21" s="51">
        <v>29.8</v>
      </c>
      <c r="N21" s="51">
        <v>31.3</v>
      </c>
      <c r="O21" s="51">
        <v>74.2</v>
      </c>
      <c r="P21" s="51">
        <v>95.2</v>
      </c>
      <c r="Q21" s="51">
        <v>52.2</v>
      </c>
      <c r="R21" s="51">
        <v>36.200000000000003</v>
      </c>
      <c r="S21" s="22">
        <v>56.5</v>
      </c>
      <c r="T21" s="36">
        <f t="shared" si="0"/>
        <v>8.5181500000000003</v>
      </c>
      <c r="U21" s="37">
        <v>6.22</v>
      </c>
      <c r="V21" s="42">
        <v>9.73</v>
      </c>
      <c r="W21" s="43">
        <v>33.32</v>
      </c>
    </row>
    <row r="22" spans="1:23" ht="32" x14ac:dyDescent="0.2">
      <c r="A22" s="5" t="s">
        <v>55</v>
      </c>
      <c r="B22" s="3" t="s">
        <v>56</v>
      </c>
      <c r="C22" s="3" t="s">
        <v>32</v>
      </c>
      <c r="D22" s="4">
        <v>69</v>
      </c>
      <c r="E22" s="4">
        <v>178</v>
      </c>
      <c r="F22" s="4">
        <v>21.8</v>
      </c>
      <c r="G22" s="50">
        <v>6.5</v>
      </c>
      <c r="H22" s="50">
        <v>10</v>
      </c>
      <c r="I22" s="50">
        <v>5.5</v>
      </c>
      <c r="J22" s="50">
        <v>7.5</v>
      </c>
      <c r="K22" s="50">
        <v>8</v>
      </c>
      <c r="L22" s="50">
        <v>4</v>
      </c>
      <c r="M22" s="51">
        <v>29.6</v>
      </c>
      <c r="N22" s="51">
        <v>31.9</v>
      </c>
      <c r="O22" s="51">
        <v>76.5</v>
      </c>
      <c r="P22" s="51">
        <v>90.3</v>
      </c>
      <c r="Q22" s="51">
        <v>53.3</v>
      </c>
      <c r="R22" s="51">
        <v>36.6</v>
      </c>
      <c r="S22" s="19">
        <v>41.5</v>
      </c>
      <c r="T22" s="36">
        <f t="shared" si="0"/>
        <v>6.9416500000000001</v>
      </c>
      <c r="U22" s="37">
        <v>4.79</v>
      </c>
      <c r="V22" s="42">
        <v>7.94</v>
      </c>
      <c r="W22" s="43">
        <v>33.29</v>
      </c>
    </row>
    <row r="23" spans="1:23" ht="32" x14ac:dyDescent="0.2">
      <c r="A23" s="5" t="s">
        <v>57</v>
      </c>
      <c r="B23" s="3" t="s">
        <v>58</v>
      </c>
      <c r="C23" s="3" t="s">
        <v>32</v>
      </c>
      <c r="D23" s="4">
        <v>72</v>
      </c>
      <c r="E23" s="4">
        <v>181</v>
      </c>
      <c r="F23" s="4">
        <v>22</v>
      </c>
      <c r="G23" s="50">
        <v>7.5</v>
      </c>
      <c r="H23" s="50">
        <v>9</v>
      </c>
      <c r="I23" s="50">
        <v>6</v>
      </c>
      <c r="J23" s="50">
        <v>11.5</v>
      </c>
      <c r="K23" s="50">
        <v>8</v>
      </c>
      <c r="L23" s="50">
        <v>4</v>
      </c>
      <c r="M23" s="51">
        <v>29.5</v>
      </c>
      <c r="N23" s="51">
        <v>32.1</v>
      </c>
      <c r="O23" s="51">
        <v>76.3</v>
      </c>
      <c r="P23" s="51">
        <v>91.9</v>
      </c>
      <c r="Q23" s="51">
        <v>51.5</v>
      </c>
      <c r="R23" s="51">
        <v>37.4</v>
      </c>
      <c r="S23" s="19">
        <v>46</v>
      </c>
      <c r="T23" s="36">
        <f t="shared" si="0"/>
        <v>7.4146000000000001</v>
      </c>
      <c r="U23" s="37">
        <v>5.34</v>
      </c>
      <c r="V23" s="42">
        <v>8.7200000000000006</v>
      </c>
      <c r="W23" s="43">
        <v>33.51</v>
      </c>
    </row>
    <row r="24" spans="1:23" ht="32" x14ac:dyDescent="0.2">
      <c r="A24" s="5" t="s">
        <v>59</v>
      </c>
      <c r="B24" s="3" t="s">
        <v>60</v>
      </c>
      <c r="C24" s="3" t="s">
        <v>32</v>
      </c>
      <c r="D24" s="4">
        <v>73</v>
      </c>
      <c r="E24" s="4">
        <v>177</v>
      </c>
      <c r="F24" s="4">
        <v>23.3</v>
      </c>
      <c r="G24" s="50">
        <v>11.5</v>
      </c>
      <c r="H24" s="50">
        <v>8.5</v>
      </c>
      <c r="I24" s="50">
        <v>7</v>
      </c>
      <c r="J24" s="50">
        <v>9</v>
      </c>
      <c r="K24" s="50">
        <v>15</v>
      </c>
      <c r="L24" s="50">
        <v>7.5</v>
      </c>
      <c r="M24" s="51">
        <v>31.2</v>
      </c>
      <c r="N24" s="51">
        <v>34.299999999999997</v>
      </c>
      <c r="O24" s="51">
        <v>82.3</v>
      </c>
      <c r="P24" s="51">
        <v>93</v>
      </c>
      <c r="Q24" s="51">
        <v>51.8</v>
      </c>
      <c r="R24" s="51">
        <v>35.4</v>
      </c>
      <c r="S24" s="22">
        <v>58.5</v>
      </c>
      <c r="T24" s="36">
        <f t="shared" si="0"/>
        <v>8.7283499999999989</v>
      </c>
      <c r="U24" s="37">
        <v>6.38</v>
      </c>
      <c r="V24" s="42">
        <v>12.18</v>
      </c>
      <c r="W24" s="43">
        <v>31.38</v>
      </c>
    </row>
    <row r="25" spans="1:23" ht="32" x14ac:dyDescent="0.2">
      <c r="A25" s="5" t="s">
        <v>61</v>
      </c>
      <c r="B25" s="3" t="s">
        <v>62</v>
      </c>
      <c r="C25" s="3" t="s">
        <v>32</v>
      </c>
      <c r="D25" s="4">
        <v>77</v>
      </c>
      <c r="E25" s="4">
        <v>185</v>
      </c>
      <c r="F25" s="4">
        <v>22.5</v>
      </c>
      <c r="G25" s="50">
        <v>7</v>
      </c>
      <c r="H25" s="50">
        <v>10.5</v>
      </c>
      <c r="I25" s="50">
        <v>6.5</v>
      </c>
      <c r="J25" s="50">
        <v>12</v>
      </c>
      <c r="K25" s="50">
        <v>10</v>
      </c>
      <c r="L25" s="50">
        <v>5</v>
      </c>
      <c r="M25" s="51">
        <v>31.4</v>
      </c>
      <c r="N25" s="51">
        <v>35</v>
      </c>
      <c r="O25" s="51">
        <v>81.900000000000006</v>
      </c>
      <c r="P25" s="51">
        <v>95.8</v>
      </c>
      <c r="Q25" s="51">
        <v>54.5</v>
      </c>
      <c r="R25" s="51">
        <v>37.200000000000003</v>
      </c>
      <c r="S25" s="19">
        <v>51</v>
      </c>
      <c r="T25" s="36">
        <f t="shared" si="0"/>
        <v>7.9401000000000002</v>
      </c>
      <c r="U25" s="37">
        <v>6.12</v>
      </c>
      <c r="V25" s="42">
        <v>9.56</v>
      </c>
      <c r="W25" s="43">
        <v>35.72</v>
      </c>
    </row>
    <row r="26" spans="1:23" ht="16" x14ac:dyDescent="0.2">
      <c r="A26" s="5" t="s">
        <v>63</v>
      </c>
      <c r="B26" s="3" t="s">
        <v>64</v>
      </c>
      <c r="C26" s="3" t="s">
        <v>32</v>
      </c>
      <c r="D26" s="4">
        <v>76</v>
      </c>
      <c r="E26" s="4">
        <v>184</v>
      </c>
      <c r="F26" s="4">
        <v>22.4</v>
      </c>
      <c r="G26" s="50">
        <v>10.5</v>
      </c>
      <c r="H26" s="50">
        <v>8.5</v>
      </c>
      <c r="I26" s="50">
        <v>6.5</v>
      </c>
      <c r="J26" s="50">
        <v>14</v>
      </c>
      <c r="K26" s="50">
        <v>12.5</v>
      </c>
      <c r="L26" s="50">
        <v>7</v>
      </c>
      <c r="M26" s="51">
        <v>29.8</v>
      </c>
      <c r="N26" s="51">
        <v>32</v>
      </c>
      <c r="O26" s="51">
        <v>75</v>
      </c>
      <c r="P26" s="51">
        <v>99.2</v>
      </c>
      <c r="Q26" s="51">
        <v>54.9</v>
      </c>
      <c r="R26" s="51">
        <v>35.6</v>
      </c>
      <c r="S26" s="22">
        <v>59</v>
      </c>
      <c r="T26" s="36">
        <f t="shared" si="0"/>
        <v>8.780899999999999</v>
      </c>
      <c r="U26" s="37">
        <v>6.68</v>
      </c>
      <c r="V26" s="42">
        <v>11.99</v>
      </c>
      <c r="W26" s="43">
        <v>32.26</v>
      </c>
    </row>
    <row r="27" spans="1:23" ht="16" x14ac:dyDescent="0.2">
      <c r="A27" s="5" t="s">
        <v>65</v>
      </c>
      <c r="B27" s="3" t="s">
        <v>66</v>
      </c>
      <c r="C27" s="3" t="s">
        <v>32</v>
      </c>
      <c r="D27" s="4">
        <v>68</v>
      </c>
      <c r="E27" s="4">
        <v>168</v>
      </c>
      <c r="F27" s="4">
        <v>24.1</v>
      </c>
      <c r="G27" s="50">
        <v>6</v>
      </c>
      <c r="H27" s="50">
        <v>10</v>
      </c>
      <c r="I27" s="50">
        <v>5</v>
      </c>
      <c r="J27" s="50">
        <v>7.5</v>
      </c>
      <c r="K27" s="50">
        <v>8</v>
      </c>
      <c r="L27" s="50">
        <v>4</v>
      </c>
      <c r="M27" s="51">
        <v>32.6</v>
      </c>
      <c r="N27" s="51">
        <v>34.299999999999997</v>
      </c>
      <c r="O27" s="51">
        <v>76.599999999999994</v>
      </c>
      <c r="P27" s="51">
        <v>93.5</v>
      </c>
      <c r="Q27" s="51">
        <v>54.2</v>
      </c>
      <c r="R27" s="51">
        <v>36.700000000000003</v>
      </c>
      <c r="S27" s="19">
        <v>40.5</v>
      </c>
      <c r="T27" s="36">
        <f t="shared" si="0"/>
        <v>6.8365499999999999</v>
      </c>
      <c r="U27" s="37">
        <v>4.6500000000000004</v>
      </c>
      <c r="V27" s="42">
        <v>7.62</v>
      </c>
      <c r="W27" s="43">
        <v>34.380000000000003</v>
      </c>
    </row>
    <row r="28" spans="1:23" ht="32" x14ac:dyDescent="0.2">
      <c r="A28" s="5" t="s">
        <v>61</v>
      </c>
      <c r="B28" s="3" t="s">
        <v>67</v>
      </c>
      <c r="C28" s="3" t="s">
        <v>32</v>
      </c>
      <c r="D28" s="4">
        <v>73.3</v>
      </c>
      <c r="E28" s="4">
        <v>175</v>
      </c>
      <c r="F28" s="4">
        <v>23.9</v>
      </c>
      <c r="G28" s="50">
        <v>6.5</v>
      </c>
      <c r="H28" s="50">
        <v>10</v>
      </c>
      <c r="I28" s="50">
        <v>6.5</v>
      </c>
      <c r="J28" s="50">
        <v>11</v>
      </c>
      <c r="K28" s="50">
        <v>10.5</v>
      </c>
      <c r="L28" s="50">
        <v>6</v>
      </c>
      <c r="M28" s="51">
        <v>31.2</v>
      </c>
      <c r="N28" s="51">
        <v>33.1</v>
      </c>
      <c r="O28" s="51">
        <v>77.3</v>
      </c>
      <c r="P28" s="51">
        <v>90</v>
      </c>
      <c r="Q28" s="51">
        <v>53.3</v>
      </c>
      <c r="R28" s="51">
        <v>36.4</v>
      </c>
      <c r="S28" s="19">
        <v>50.5</v>
      </c>
      <c r="T28" s="36">
        <f t="shared" si="0"/>
        <v>7.8875500000000001</v>
      </c>
      <c r="U28" s="37">
        <v>5.79</v>
      </c>
      <c r="V28" s="42">
        <v>9.33</v>
      </c>
      <c r="W28" s="43">
        <v>33.450000000000003</v>
      </c>
    </row>
    <row r="29" spans="1:23" ht="32" x14ac:dyDescent="0.2">
      <c r="A29" s="5" t="s">
        <v>68</v>
      </c>
      <c r="B29" s="3" t="s">
        <v>69</v>
      </c>
      <c r="C29" s="3" t="s">
        <v>32</v>
      </c>
      <c r="D29" s="4">
        <v>72</v>
      </c>
      <c r="E29" s="4">
        <v>175</v>
      </c>
      <c r="F29" s="4">
        <v>23.5</v>
      </c>
      <c r="G29" s="50">
        <v>4.5</v>
      </c>
      <c r="H29" s="50">
        <v>8.5</v>
      </c>
      <c r="I29" s="50">
        <v>4.5</v>
      </c>
      <c r="J29" s="50">
        <v>7.5</v>
      </c>
      <c r="K29" s="50">
        <v>8</v>
      </c>
      <c r="L29" s="50">
        <v>5</v>
      </c>
      <c r="M29" s="51">
        <v>31.4</v>
      </c>
      <c r="N29" s="51">
        <v>34.200000000000003</v>
      </c>
      <c r="O29" s="51">
        <v>74.8</v>
      </c>
      <c r="P29" s="51">
        <v>94.9</v>
      </c>
      <c r="Q29" s="51">
        <v>53.7</v>
      </c>
      <c r="R29" s="51">
        <v>36</v>
      </c>
      <c r="S29" s="19">
        <v>38</v>
      </c>
      <c r="T29" s="36">
        <f t="shared" si="0"/>
        <v>6.5738000000000003</v>
      </c>
      <c r="U29" s="37">
        <v>4.74</v>
      </c>
      <c r="V29" s="42">
        <v>7.84</v>
      </c>
      <c r="W29" s="43">
        <v>35.33</v>
      </c>
    </row>
    <row r="30" spans="1:23" ht="16" x14ac:dyDescent="0.2">
      <c r="A30" s="5" t="s">
        <v>70</v>
      </c>
      <c r="B30" s="3" t="s">
        <v>71</v>
      </c>
      <c r="C30" s="3" t="s">
        <v>32</v>
      </c>
      <c r="D30" s="4">
        <v>68</v>
      </c>
      <c r="E30" s="4">
        <v>179</v>
      </c>
      <c r="F30" s="4">
        <v>21.2</v>
      </c>
      <c r="G30" s="50">
        <v>8</v>
      </c>
      <c r="H30" s="50">
        <v>8.5</v>
      </c>
      <c r="I30" s="50">
        <v>6</v>
      </c>
      <c r="J30" s="50">
        <v>9.5</v>
      </c>
      <c r="K30" s="50">
        <v>11</v>
      </c>
      <c r="L30" s="50">
        <v>6.5</v>
      </c>
      <c r="M30" s="51">
        <v>28.6</v>
      </c>
      <c r="N30" s="51">
        <v>31.5</v>
      </c>
      <c r="O30" s="51">
        <v>74.3</v>
      </c>
      <c r="P30" s="51">
        <v>92.3</v>
      </c>
      <c r="Q30" s="51">
        <v>53.2</v>
      </c>
      <c r="R30" s="51">
        <v>37.4</v>
      </c>
      <c r="S30" s="19">
        <v>49.5</v>
      </c>
      <c r="T30" s="36">
        <f t="shared" si="0"/>
        <v>7.7824499999999999</v>
      </c>
      <c r="U30" s="37">
        <v>5.3</v>
      </c>
      <c r="V30" s="42">
        <v>9.48</v>
      </c>
      <c r="W30" s="43">
        <v>33.31</v>
      </c>
    </row>
    <row r="31" spans="1:23" ht="32" x14ac:dyDescent="0.2">
      <c r="A31" s="5" t="s">
        <v>59</v>
      </c>
      <c r="B31" s="3" t="s">
        <v>72</v>
      </c>
      <c r="C31" s="3" t="s">
        <v>2</v>
      </c>
      <c r="D31" s="4">
        <v>75</v>
      </c>
      <c r="E31" s="4">
        <v>182</v>
      </c>
      <c r="F31" s="4">
        <v>22.6</v>
      </c>
      <c r="G31" s="50">
        <v>7.5</v>
      </c>
      <c r="H31" s="50">
        <v>7.5</v>
      </c>
      <c r="I31" s="50">
        <v>6</v>
      </c>
      <c r="J31" s="50">
        <v>8</v>
      </c>
      <c r="K31" s="50">
        <v>11</v>
      </c>
      <c r="L31" s="50">
        <v>3.5</v>
      </c>
      <c r="M31" s="51">
        <v>30.7</v>
      </c>
      <c r="N31" s="51">
        <v>35.299999999999997</v>
      </c>
      <c r="O31" s="51">
        <v>78.3</v>
      </c>
      <c r="P31" s="51">
        <v>97.5</v>
      </c>
      <c r="Q31" s="51">
        <v>55.3</v>
      </c>
      <c r="R31" s="51">
        <v>38.6</v>
      </c>
      <c r="S31" s="19">
        <v>43.5</v>
      </c>
      <c r="T31" s="36">
        <f t="shared" si="0"/>
        <v>7.1518499999999996</v>
      </c>
      <c r="U31" s="37">
        <v>5.37</v>
      </c>
      <c r="V31" s="42">
        <v>8.86</v>
      </c>
      <c r="W31" s="43">
        <v>35.81</v>
      </c>
    </row>
    <row r="32" spans="1:23" ht="32" x14ac:dyDescent="0.2">
      <c r="A32" s="5" t="s">
        <v>73</v>
      </c>
      <c r="B32" s="3" t="s">
        <v>74</v>
      </c>
      <c r="C32" s="3" t="s">
        <v>2</v>
      </c>
      <c r="D32" s="4">
        <v>76</v>
      </c>
      <c r="E32" s="4">
        <v>183</v>
      </c>
      <c r="F32" s="4">
        <v>22.7</v>
      </c>
      <c r="G32" s="50">
        <v>6.5</v>
      </c>
      <c r="H32" s="50">
        <v>9.5</v>
      </c>
      <c r="I32" s="50">
        <v>5</v>
      </c>
      <c r="J32" s="50">
        <v>7.5</v>
      </c>
      <c r="K32" s="50">
        <v>9</v>
      </c>
      <c r="L32" s="50">
        <v>5</v>
      </c>
      <c r="M32" s="51">
        <v>30.8</v>
      </c>
      <c r="N32" s="51">
        <v>32.6</v>
      </c>
      <c r="O32" s="51">
        <v>77</v>
      </c>
      <c r="P32" s="51">
        <v>93.2</v>
      </c>
      <c r="Q32" s="51">
        <v>50.9</v>
      </c>
      <c r="R32" s="51">
        <v>36.799999999999997</v>
      </c>
      <c r="S32" s="19">
        <v>42.5</v>
      </c>
      <c r="T32" s="36">
        <f t="shared" si="0"/>
        <v>7.0467500000000003</v>
      </c>
      <c r="U32" s="37">
        <v>5.36</v>
      </c>
      <c r="V32" s="42">
        <v>9.2100000000000009</v>
      </c>
      <c r="W32" s="43">
        <v>35.479999999999997</v>
      </c>
    </row>
    <row r="33" spans="1:23" ht="32" x14ac:dyDescent="0.2">
      <c r="A33" s="31" t="s">
        <v>95</v>
      </c>
      <c r="B33" s="32" t="s">
        <v>96</v>
      </c>
      <c r="C33" s="35">
        <v>46041</v>
      </c>
      <c r="D33" s="33">
        <v>69</v>
      </c>
      <c r="E33" s="33">
        <v>175</v>
      </c>
      <c r="F33" s="33">
        <v>22.5</v>
      </c>
      <c r="G33" s="52">
        <v>5</v>
      </c>
      <c r="H33" s="52">
        <v>10</v>
      </c>
      <c r="I33" s="52">
        <v>8</v>
      </c>
      <c r="J33" s="52">
        <v>8.5</v>
      </c>
      <c r="K33" s="52">
        <v>6</v>
      </c>
      <c r="L33" s="52">
        <v>3.5</v>
      </c>
      <c r="M33" s="53">
        <v>31.6</v>
      </c>
      <c r="N33" s="53">
        <v>34.1</v>
      </c>
      <c r="O33" s="53">
        <v>72.7</v>
      </c>
      <c r="P33" s="53">
        <v>92.2</v>
      </c>
      <c r="Q33" s="53" t="s">
        <v>97</v>
      </c>
      <c r="R33" s="53">
        <v>34.9</v>
      </c>
      <c r="S33" s="34">
        <v>39</v>
      </c>
      <c r="T33" s="36">
        <f t="shared" si="0"/>
        <v>6.6788999999999996</v>
      </c>
      <c r="U33" s="38">
        <v>4.6100000000000003</v>
      </c>
      <c r="V33" s="44">
        <v>7.1</v>
      </c>
      <c r="W33" s="45">
        <v>34.729999999999997</v>
      </c>
    </row>
    <row r="34" spans="1:23" ht="16" x14ac:dyDescent="0.2">
      <c r="A34" s="6" t="s">
        <v>75</v>
      </c>
      <c r="B34" s="7" t="s">
        <v>76</v>
      </c>
      <c r="C34" s="7" t="s">
        <v>2</v>
      </c>
      <c r="D34" s="8">
        <v>79</v>
      </c>
      <c r="E34" s="8">
        <v>176</v>
      </c>
      <c r="F34" s="8">
        <v>25.5</v>
      </c>
      <c r="G34" s="54">
        <v>7.5</v>
      </c>
      <c r="H34" s="54">
        <v>8</v>
      </c>
      <c r="I34" s="54">
        <v>7</v>
      </c>
      <c r="J34" s="54">
        <v>13.5</v>
      </c>
      <c r="K34" s="54">
        <v>12</v>
      </c>
      <c r="L34" s="54">
        <v>9</v>
      </c>
      <c r="M34" s="55">
        <v>30.6</v>
      </c>
      <c r="N34" s="55">
        <v>32.1</v>
      </c>
      <c r="O34" s="55">
        <v>81.400000000000006</v>
      </c>
      <c r="P34" s="55">
        <v>97</v>
      </c>
      <c r="Q34" s="55">
        <v>57</v>
      </c>
      <c r="R34" s="55">
        <v>40.9</v>
      </c>
      <c r="S34" s="24">
        <v>57</v>
      </c>
      <c r="T34" s="36">
        <f t="shared" si="0"/>
        <v>8.5707000000000004</v>
      </c>
      <c r="U34" s="39">
        <v>6.77</v>
      </c>
      <c r="V34" s="46">
        <v>11.98</v>
      </c>
      <c r="W34" s="47">
        <v>35.47</v>
      </c>
    </row>
    <row r="36" spans="1:23" ht="221" x14ac:dyDescent="0.2">
      <c r="A36" s="60" t="s">
        <v>80</v>
      </c>
      <c r="B36" s="61"/>
      <c r="C36" s="17" t="s">
        <v>81</v>
      </c>
    </row>
    <row r="37" spans="1:23" ht="85" x14ac:dyDescent="0.2">
      <c r="A37" s="62" t="s">
        <v>82</v>
      </c>
      <c r="B37" s="63"/>
      <c r="C37" s="18" t="s">
        <v>83</v>
      </c>
    </row>
    <row r="38" spans="1:23" ht="16" x14ac:dyDescent="0.2">
      <c r="A38" s="64" t="s">
        <v>84</v>
      </c>
      <c r="B38" s="65"/>
      <c r="C38" s="20" t="s">
        <v>87</v>
      </c>
    </row>
    <row r="39" spans="1:23" ht="32" x14ac:dyDescent="0.2">
      <c r="A39" s="64" t="s">
        <v>85</v>
      </c>
      <c r="B39" s="65"/>
      <c r="C39" s="20" t="s">
        <v>88</v>
      </c>
    </row>
    <row r="40" spans="1:23" ht="32" x14ac:dyDescent="0.2">
      <c r="A40" s="70" t="s">
        <v>86</v>
      </c>
      <c r="B40" s="71"/>
      <c r="C40" s="25" t="s">
        <v>89</v>
      </c>
    </row>
    <row r="41" spans="1:23" ht="32" x14ac:dyDescent="0.2">
      <c r="A41" s="66" t="s">
        <v>90</v>
      </c>
      <c r="B41" s="67"/>
      <c r="C41" s="27" t="s">
        <v>91</v>
      </c>
    </row>
    <row r="42" spans="1:23" ht="32" x14ac:dyDescent="0.2">
      <c r="A42" s="68" t="s">
        <v>93</v>
      </c>
      <c r="B42" s="69"/>
      <c r="C42" s="26" t="s">
        <v>92</v>
      </c>
    </row>
    <row r="44" spans="1:23" ht="16" x14ac:dyDescent="0.2">
      <c r="A44" s="30" t="s">
        <v>94</v>
      </c>
    </row>
    <row r="45" spans="1:23" x14ac:dyDescent="0.2">
      <c r="A45" s="2" t="e">
        <v>#VALUE!</v>
      </c>
      <c r="B45" s="2"/>
      <c r="C45" s="2"/>
      <c r="D45" s="2" t="e">
        <v>#VALUE!</v>
      </c>
      <c r="E45" s="2"/>
      <c r="F45" s="2"/>
      <c r="G45" s="2"/>
      <c r="H45" s="2"/>
      <c r="I45" s="2"/>
      <c r="J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 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2026-01-18T22:17:48Z</dcterms:created>
  <dcterms:modified xsi:type="dcterms:W3CDTF">2026-04-13T02:56:59Z</dcterms:modified>
</cp:coreProperties>
</file>